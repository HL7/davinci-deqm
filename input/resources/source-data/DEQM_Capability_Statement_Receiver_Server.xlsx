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SourceControl\Git\HL7\davinci-deqm\input\resources\source-data\"/>
    </mc:Choice>
  </mc:AlternateContent>
  <xr:revisionPtr revIDLastSave="0" documentId="13_ncr:1_{3FCF5F03-081B-4A08-A555-DFD94FADD6C4}" xr6:coauthVersionLast="47" xr6:coauthVersionMax="47" xr10:uidLastSave="{00000000-0000-0000-0000-000000000000}"/>
  <bookViews>
    <workbookView xWindow="-110" yWindow="-110" windowWidth="19420" windowHeight="11500" firstSheet="1" activeTab="7" xr2:uid="{33C1B24A-521B-4A24-AA1F-999D8048322A}"/>
  </bookViews>
  <sheets>
    <sheet name="config" sheetId="11" r:id="rId1"/>
    <sheet name="meta" sheetId="1" r:id="rId2"/>
    <sheet name="igs" sheetId="8" r:id="rId3"/>
    <sheet name="profiles" sheetId="2" r:id="rId4"/>
    <sheet name="resources" sheetId="3" r:id="rId5"/>
    <sheet name="ops" sheetId="7" r:id="rId6"/>
    <sheet name="interactions" sheetId="5" r:id="rId7"/>
    <sheet name="rest_interactions" sheetId="9" r:id="rId8"/>
    <sheet name="sp_combos" sheetId="10" r:id="rId9"/>
    <sheet name="sps" sheetId="4" r:id="rId10"/>
  </sheets>
  <definedNames>
    <definedName name="_xlnm._FilterDatabase" localSheetId="3" hidden="1">profiles!$A$1:$D$11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0" l="1"/>
  <c r="C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X1" authorId="0" shapeId="0" xr:uid="{31A88768-3A7B-4365-A589-54F4C8192267}">
      <text>
        <r>
          <rPr>
            <b/>
            <sz val="9"/>
            <color indexed="81"/>
            <rFont val="Tahoma"/>
            <family val="2"/>
          </rPr>
          <t>User:</t>
        </r>
        <r>
          <rPr>
            <sz val="9"/>
            <color indexed="81"/>
            <rFont val="Tahoma"/>
            <family val="2"/>
          </rPr>
          <t xml:space="preserve">
not used -for algorithmic generation of combos</t>
        </r>
      </text>
    </comment>
  </commentList>
</comments>
</file>

<file path=xl/sharedStrings.xml><?xml version="1.0" encoding="utf-8"?>
<sst xmlns="http://schemas.openxmlformats.org/spreadsheetml/2006/main" count="172" uniqueCount="143">
  <si>
    <t>Value</t>
  </si>
  <si>
    <t>Element</t>
  </si>
  <si>
    <t>Conformance</t>
  </si>
  <si>
    <t>id</t>
  </si>
  <si>
    <t>description</t>
  </si>
  <si>
    <t>SHALL</t>
  </si>
  <si>
    <t>ig</t>
  </si>
  <si>
    <t>Profile</t>
  </si>
  <si>
    <t>mode</t>
  </si>
  <si>
    <t>server</t>
  </si>
  <si>
    <t>documentation</t>
  </si>
  <si>
    <t>security</t>
  </si>
  <si>
    <t>Resource</t>
  </si>
  <si>
    <t>Parameter</t>
  </si>
  <si>
    <t>Exists</t>
  </si>
  <si>
    <t>Update</t>
  </si>
  <si>
    <t>Type</t>
  </si>
  <si>
    <t>Expression</t>
  </si>
  <si>
    <t>ands</t>
  </si>
  <si>
    <t>ors</t>
  </si>
  <si>
    <t>Modifiers</t>
  </si>
  <si>
    <t>Comparators</t>
  </si>
  <si>
    <t>References</t>
  </si>
  <si>
    <t>Chains</t>
  </si>
  <si>
    <t>Description</t>
  </si>
  <si>
    <t>Example Query</t>
  </si>
  <si>
    <t>versioning</t>
  </si>
  <si>
    <t>readHistory</t>
  </si>
  <si>
    <t>referencePolicy</t>
  </si>
  <si>
    <t>create</t>
  </si>
  <si>
    <t>search-type</t>
  </si>
  <si>
    <t>read</t>
  </si>
  <si>
    <t>vread</t>
  </si>
  <si>
    <t>update</t>
  </si>
  <si>
    <t>patch</t>
  </si>
  <si>
    <t>delete</t>
  </si>
  <si>
    <t>history-instance</t>
  </si>
  <si>
    <t>history-type</t>
  </si>
  <si>
    <t>updateCreate</t>
  </si>
  <si>
    <t>type</t>
  </si>
  <si>
    <t>conformance</t>
  </si>
  <si>
    <t>code</t>
  </si>
  <si>
    <t>conf</t>
  </si>
  <si>
    <t>Base</t>
  </si>
  <si>
    <t>Name</t>
  </si>
  <si>
    <t>name</t>
  </si>
  <si>
    <t>definition</t>
  </si>
  <si>
    <t>combo_pairs</t>
  </si>
  <si>
    <t>forbidden_s_combos</t>
  </si>
  <si>
    <t>For general security consideration refer to the [Security and Privacy Considerations](http://build.fhir.org/secpriv-module.html).</t>
  </si>
  <si>
    <t>DeviceRequest</t>
  </si>
  <si>
    <t>MedicationAdministration</t>
  </si>
  <si>
    <t>MeasureReport</t>
  </si>
  <si>
    <t>Practitioner</t>
  </si>
  <si>
    <t>DeviceUseStatement</t>
  </si>
  <si>
    <t>Organization</t>
  </si>
  <si>
    <t>Coverage</t>
  </si>
  <si>
    <t>MedicationRequest</t>
  </si>
  <si>
    <t>Subscription</t>
  </si>
  <si>
    <t>DEQM DeviceRequest Profile</t>
  </si>
  <si>
    <t>DEQM MedicationAdministration Profile</t>
  </si>
  <si>
    <t>DEQM Practitioner Profile</t>
  </si>
  <si>
    <t>DEQM DeviceUseStatement Profile</t>
  </si>
  <si>
    <t>DEQM Coverage Profile</t>
  </si>
  <si>
    <t>DEQM MedicationRequest Profile</t>
  </si>
  <si>
    <t>DEQM Subscription Profile</t>
  </si>
  <si>
    <t>DEQM Summary MeasureReport Profile</t>
  </si>
  <si>
    <t>DEQM Individual MeasureReport Profile</t>
  </si>
  <si>
    <t>uri</t>
  </si>
  <si>
    <t>QI Core</t>
  </si>
  <si>
    <t>The DaVinci DEQM Receiver Server **SHALL** be capable of supporting the DEQM Summary MeasureReport Profile and  DEQM Individual MeasureReport Profile and all the DEQM and QI Core Profiles they reference.</t>
  </si>
  <si>
    <t>conf_MeasureReport</t>
  </si>
  <si>
    <t>receiver-server</t>
  </si>
  <si>
    <t>CFQM</t>
  </si>
  <si>
    <t>This profile defines the expected capabilities of a Da Vinci DEQM Receiver Server when conforming to the Da Vinci DEQM Implementation Guide. Receivers include systems that are primary receivers of Measure data such as payers as well as public health and other healthcare-related agencies.  This CapabilityStatement resource includes the complete list of the *recommended*  Da Vinci DEQM profiles and RESTful operations that a Da Vinci DEQM Receiver Server could support. Servers have the option of choosing from this list based on their local use cases and other contextual requirements.</t>
  </si>
  <si>
    <t>version</t>
  </si>
  <si>
    <t>fhirVersion</t>
  </si>
  <si>
    <t>versioning_conf</t>
  </si>
  <si>
    <t>readHistory_conf</t>
  </si>
  <si>
    <t>updateCreate_conf</t>
  </si>
  <si>
    <t>conditionalCreate</t>
  </si>
  <si>
    <t>conditionalCreate_conf</t>
  </si>
  <si>
    <t>conditionalRead</t>
  </si>
  <si>
    <t>conditionalRead_conf</t>
  </si>
  <si>
    <t>conditionalUpdate</t>
  </si>
  <si>
    <t>conditionalUpdate_conf</t>
  </si>
  <si>
    <t>conditionalDelete</t>
  </si>
  <si>
    <t>conditionalDelete_conf</t>
  </si>
  <si>
    <t>referencePolicy_conf</t>
  </si>
  <si>
    <t>shall_include</t>
  </si>
  <si>
    <t>should_include</t>
  </si>
  <si>
    <t>shall_revinclude</t>
  </si>
  <si>
    <t>should_revinclude</t>
  </si>
  <si>
    <t>doc</t>
  </si>
  <si>
    <t>transaction</t>
  </si>
  <si>
    <t>MAY</t>
  </si>
  <si>
    <t>batch</t>
  </si>
  <si>
    <t>search-system</t>
  </si>
  <si>
    <t>history-system</t>
  </si>
  <si>
    <t>index</t>
  </si>
  <si>
    <t>base</t>
  </si>
  <si>
    <t>profile</t>
  </si>
  <si>
    <t>combo</t>
  </si>
  <si>
    <t>combo_conf</t>
  </si>
  <si>
    <t>types</t>
  </si>
  <si>
    <t>fixed_kv</t>
  </si>
  <si>
    <t>example</t>
  </si>
  <si>
    <t>imp_note</t>
  </si>
  <si>
    <t>!Encounter</t>
  </si>
  <si>
    <t>class,date</t>
  </si>
  <si>
    <t>SHOULD</t>
  </si>
  <si>
    <t>date,token</t>
  </si>
  <si>
    <t>http://hl7.org/fhir/us/davinci-deqm/StructureDefinition/summary-measurereport-deqm</t>
  </si>
  <si>
    <t>http://hl7.org/fhir/us/davinci-deqm/StructureDefinition/indv-measurereport-deqm</t>
  </si>
  <si>
    <t>!http://hl7.org/fhir/us/davinci-deqm/StructureDefinition/subscription-deqm</t>
  </si>
  <si>
    <t>source</t>
  </si>
  <si>
    <t>//ERICS-AIR-2/ehaas/Documents/FHIR/Davinci-DEQM/input/</t>
  </si>
  <si>
    <t>packagepath</t>
  </si>
  <si>
    <t>//ERICS-AIR-2/ehaas/Documents/FHIR/Davinci-DEQM/output/</t>
  </si>
  <si>
    <t>pre</t>
  </si>
  <si>
    <t>Da Vinci</t>
  </si>
  <si>
    <t>canon</t>
  </si>
  <si>
    <t>publisher</t>
  </si>
  <si>
    <t>HL7 International - Clinical Quality Information Work Group</t>
  </si>
  <si>
    <t>publishersystem</t>
  </si>
  <si>
    <t>url</t>
  </si>
  <si>
    <t>publishervalue</t>
  </si>
  <si>
    <t>http://www.hl7.org/Special/committees/cqi/index.cfm</t>
  </si>
  <si>
    <t>4.0.1</t>
  </si>
  <si>
    <t>!http://hl7.org/fhir/us/davinci-deqm/StructureDefinition/medicationrequest-deqm</t>
  </si>
  <si>
    <t>!http://hl7.org/fhir/us/davinci-deqm/StructureDefinition/coverage-deqm</t>
  </si>
  <si>
    <t>!http://hl7.org/fhir/us/davinci-deqm/StructureDefinition/deviceusestatement-deqm</t>
  </si>
  <si>
    <t>!http://hl7.org/fhir/us/davinci-deqm/StructureDefinition/practitioner-deqm</t>
  </si>
  <si>
    <t>!http://hl7.org/fhir/us/davinci-deqm/StructureDefinition/medicationadministration-deqm</t>
  </si>
  <si>
    <t>!http://hl7.org/fhir/us/davinci-deqm/StructureDefinition/devicerequest-deqm</t>
  </si>
  <si>
    <t>http://hl7.org/fhir/us/davinci-deqm/</t>
  </si>
  <si>
    <t>3.1.0</t>
  </si>
  <si>
    <t>http://hl7.org/fhir/us/davinci-deqm/ImplementationGuide/hl7.fhir.us.davinci-deqm|3.1.0</t>
  </si>
  <si>
    <t>http://hl7.org/fhir/us/qicore/ImplementationGuide/hl7.fhir.us.qicore|4.1.1</t>
  </si>
  <si>
    <t>http://hl7.org/fhir/us/cqfmeasures/ImplementationGuide/hl7.fhir.us.cqfmeasures|3.0.0</t>
  </si>
  <si>
    <t>!http://hl7.org/fhir/us/qicore/StructureDefinition/qicore-organization</t>
  </si>
  <si>
    <t>QI Core Organization Profile</t>
  </si>
  <si>
    <t xml:space="preserve">Da Vinci DEQM Producer Server **SHALL**
1. Support the following  transactions defined in the *Framework* Section of  this  Implementation Guide:
   - Individual Reporting
   - Summary Reporting
1. Declare a CapabilityStatement identifying the list of supported profiles and operations.
1. Implement the FHIR RESTful API for operations including returning the appropriate response classes as described in the FHIR specification for [Extended Operations on the RESTful API ](http://hl7.org/fhir/R4/operations.html).
1. Support both xml and json resource formats for all interactions.
1. Support support for one of 'batch' or 'transaction'.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</si>
</sst>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3"/>
      <color theme="3"/>
      <name val="Calibri"/>
      <family val="2"/>
      <scheme val="minor"/>
    </font>
    <font>
      <b/>
      <sz val="9"/>
      <color indexed="81"/>
      <name val="Tahoma"/>
      <family val="2"/>
    </font>
    <font>
      <sz val="9"/>
      <color indexed="81"/>
      <name val="Tahoma"/>
      <family val="2"/>
    </font>
    <font>
      <sz val="11"/>
      <color rgb="FF333333"/>
      <name val="Verdana"/>
      <family val="2"/>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ck">
        <color theme="4" tint="0.499984740745262"/>
      </bottom>
      <diagonal/>
    </border>
  </borders>
  <cellStyleXfs count="3">
    <xf numFmtId="0" fontId="0" fillId="0" borderId="0"/>
    <xf numFmtId="0" fontId="1" fillId="0" borderId="1" applyNumberFormat="0" applyFill="0" applyAlignment="0" applyProtection="0"/>
    <xf numFmtId="0" fontId="5" fillId="0" borderId="0" applyNumberFormat="0" applyFill="0" applyBorder="0" applyAlignment="0" applyProtection="0"/>
  </cellStyleXfs>
  <cellXfs count="7">
    <xf numFmtId="0" fontId="0" fillId="0" borderId="0" xfId="0"/>
    <xf numFmtId="0" fontId="0" fillId="0" borderId="0" xfId="0" applyAlignment="1">
      <alignment wrapText="1"/>
    </xf>
    <xf numFmtId="0" fontId="0" fillId="0" borderId="0" xfId="0" quotePrefix="1" applyAlignment="1">
      <alignment wrapText="1"/>
    </xf>
    <xf numFmtId="0" fontId="0" fillId="2" borderId="0" xfId="0" applyFill="1"/>
    <xf numFmtId="0" fontId="1" fillId="0" borderId="1" xfId="1"/>
    <xf numFmtId="0" fontId="4" fillId="0" borderId="0" xfId="0" applyFont="1"/>
    <xf numFmtId="0" fontId="5" fillId="0" borderId="0" xfId="2" applyFill="1"/>
  </cellXfs>
  <cellStyles count="3">
    <cellStyle name="Heading 2" xfId="1" builtinId="17"/>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hl7.org/fhir/us/davinci-deqm/ImplementationGuide/hl7.fhir.us.davinci-deqm|3.1.0"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BF198-9F92-4812-A64F-4AD3FCDA511C}">
  <dimension ref="A1:B8"/>
  <sheetViews>
    <sheetView workbookViewId="0">
      <selection activeCell="B5" sqref="B5"/>
    </sheetView>
  </sheetViews>
  <sheetFormatPr defaultColWidth="8.7109375" defaultRowHeight="15" x14ac:dyDescent="0.25"/>
  <sheetData>
    <row r="1" spans="1:2" x14ac:dyDescent="0.25">
      <c r="A1" t="s">
        <v>44</v>
      </c>
      <c r="B1" t="s">
        <v>0</v>
      </c>
    </row>
    <row r="2" spans="1:2" x14ac:dyDescent="0.25">
      <c r="A2" t="s">
        <v>115</v>
      </c>
      <c r="B2" t="s">
        <v>116</v>
      </c>
    </row>
    <row r="3" spans="1:2" x14ac:dyDescent="0.25">
      <c r="A3" t="s">
        <v>117</v>
      </c>
      <c r="B3" t="s">
        <v>118</v>
      </c>
    </row>
    <row r="4" spans="1:2" x14ac:dyDescent="0.25">
      <c r="A4" t="s">
        <v>119</v>
      </c>
      <c r="B4" t="s">
        <v>120</v>
      </c>
    </row>
    <row r="5" spans="1:2" x14ac:dyDescent="0.25">
      <c r="A5" t="s">
        <v>121</v>
      </c>
      <c r="B5" t="s">
        <v>135</v>
      </c>
    </row>
    <row r="6" spans="1:2" x14ac:dyDescent="0.25">
      <c r="A6" t="s">
        <v>122</v>
      </c>
      <c r="B6" t="s">
        <v>123</v>
      </c>
    </row>
    <row r="7" spans="1:2" x14ac:dyDescent="0.25">
      <c r="A7" t="s">
        <v>124</v>
      </c>
      <c r="B7" t="s">
        <v>125</v>
      </c>
    </row>
    <row r="8" spans="1:2" x14ac:dyDescent="0.25">
      <c r="A8" t="s">
        <v>126</v>
      </c>
      <c r="B8" t="s">
        <v>127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F3286-55C1-40D0-93FC-C97EF26956B8}">
  <dimension ref="A1:B9"/>
  <sheetViews>
    <sheetView topLeftCell="A8" workbookViewId="0">
      <selection activeCell="B8" sqref="B8"/>
    </sheetView>
  </sheetViews>
  <sheetFormatPr defaultColWidth="8.7109375" defaultRowHeight="15" x14ac:dyDescent="0.25"/>
  <cols>
    <col min="1" max="1" width="24.7109375" customWidth="1"/>
    <col min="2" max="2" width="95.42578125" bestFit="1" customWidth="1"/>
  </cols>
  <sheetData>
    <row r="1" spans="1:2" x14ac:dyDescent="0.25">
      <c r="A1" t="s">
        <v>1</v>
      </c>
      <c r="B1" t="s">
        <v>0</v>
      </c>
    </row>
    <row r="2" spans="1:2" x14ac:dyDescent="0.25">
      <c r="A2" t="s">
        <v>75</v>
      </c>
      <c r="B2" t="s">
        <v>136</v>
      </c>
    </row>
    <row r="3" spans="1:2" x14ac:dyDescent="0.25">
      <c r="A3" t="s">
        <v>76</v>
      </c>
      <c r="B3" t="s">
        <v>128</v>
      </c>
    </row>
    <row r="4" spans="1:2" x14ac:dyDescent="0.25">
      <c r="A4" t="s">
        <v>3</v>
      </c>
      <c r="B4" t="s">
        <v>72</v>
      </c>
    </row>
    <row r="5" spans="1:2" ht="90" x14ac:dyDescent="0.25">
      <c r="A5" t="s">
        <v>4</v>
      </c>
      <c r="B5" s="1" t="s">
        <v>74</v>
      </c>
    </row>
    <row r="6" spans="1:2" x14ac:dyDescent="0.25">
      <c r="A6" t="s">
        <v>6</v>
      </c>
      <c r="B6" s="6" t="s">
        <v>137</v>
      </c>
    </row>
    <row r="7" spans="1:2" x14ac:dyDescent="0.25">
      <c r="A7" t="s">
        <v>8</v>
      </c>
      <c r="B7" t="s">
        <v>9</v>
      </c>
    </row>
    <row r="8" spans="1:2" ht="210" x14ac:dyDescent="0.25">
      <c r="A8" t="s">
        <v>10</v>
      </c>
      <c r="B8" s="1" t="s">
        <v>142</v>
      </c>
    </row>
    <row r="9" spans="1:2" ht="30" x14ac:dyDescent="0.25">
      <c r="A9" t="s">
        <v>11</v>
      </c>
      <c r="B9" s="2" t="s">
        <v>49</v>
      </c>
    </row>
  </sheetData>
  <hyperlinks>
    <hyperlink ref="B6" r:id="rId1" xr:uid="{A06D467B-046A-44C3-BFB2-7E4AA440D5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9A918-BBB6-6345-897C-371FBE4213DF}">
  <dimension ref="A1:B3"/>
  <sheetViews>
    <sheetView workbookViewId="0">
      <selection activeCell="B21" sqref="B21"/>
    </sheetView>
  </sheetViews>
  <sheetFormatPr defaultColWidth="11.42578125" defaultRowHeight="15" x14ac:dyDescent="0.25"/>
  <cols>
    <col min="2" max="2" width="68.28515625" customWidth="1"/>
  </cols>
  <sheetData>
    <row r="1" spans="1:2" x14ac:dyDescent="0.25">
      <c r="A1" t="s">
        <v>45</v>
      </c>
      <c r="B1" t="s">
        <v>68</v>
      </c>
    </row>
    <row r="2" spans="1:2" x14ac:dyDescent="0.25">
      <c r="A2" t="s">
        <v>69</v>
      </c>
      <c r="B2" t="s">
        <v>138</v>
      </c>
    </row>
    <row r="3" spans="1:2" x14ac:dyDescent="0.25">
      <c r="A3" t="s">
        <v>73</v>
      </c>
      <c r="B3" t="s">
        <v>139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9EF60-0633-48C5-B394-C56F006BD6B3}">
  <dimension ref="A1:D11"/>
  <sheetViews>
    <sheetView workbookViewId="0">
      <selection activeCell="B14" sqref="B14"/>
    </sheetView>
  </sheetViews>
  <sheetFormatPr defaultColWidth="8.7109375" defaultRowHeight="15" x14ac:dyDescent="0.25"/>
  <cols>
    <col min="1" max="1" width="98.42578125" customWidth="1"/>
    <col min="2" max="2" width="60.42578125" bestFit="1" customWidth="1"/>
    <col min="3" max="3" width="20.140625" customWidth="1"/>
    <col min="4" max="4" width="16.140625" customWidth="1"/>
  </cols>
  <sheetData>
    <row r="1" spans="1:4" x14ac:dyDescent="0.25">
      <c r="A1" t="s">
        <v>7</v>
      </c>
      <c r="B1" t="s">
        <v>44</v>
      </c>
      <c r="C1" t="s">
        <v>2</v>
      </c>
      <c r="D1" t="s">
        <v>16</v>
      </c>
    </row>
    <row r="2" spans="1:4" x14ac:dyDescent="0.25">
      <c r="A2" t="s">
        <v>134</v>
      </c>
      <c r="B2" t="s">
        <v>59</v>
      </c>
      <c r="C2" t="s">
        <v>5</v>
      </c>
      <c r="D2" t="s">
        <v>50</v>
      </c>
    </row>
    <row r="3" spans="1:4" x14ac:dyDescent="0.25">
      <c r="A3" t="s">
        <v>133</v>
      </c>
      <c r="B3" t="s">
        <v>60</v>
      </c>
      <c r="C3" t="s">
        <v>5</v>
      </c>
      <c r="D3" t="s">
        <v>51</v>
      </c>
    </row>
    <row r="4" spans="1:4" x14ac:dyDescent="0.25">
      <c r="A4" t="s">
        <v>112</v>
      </c>
      <c r="B4" t="s">
        <v>66</v>
      </c>
      <c r="C4" t="s">
        <v>5</v>
      </c>
      <c r="D4" t="s">
        <v>52</v>
      </c>
    </row>
    <row r="5" spans="1:4" x14ac:dyDescent="0.25">
      <c r="A5" t="s">
        <v>132</v>
      </c>
      <c r="B5" t="s">
        <v>61</v>
      </c>
      <c r="C5" t="s">
        <v>5</v>
      </c>
      <c r="D5" t="s">
        <v>53</v>
      </c>
    </row>
    <row r="6" spans="1:4" x14ac:dyDescent="0.25">
      <c r="A6" t="s">
        <v>131</v>
      </c>
      <c r="B6" t="s">
        <v>62</v>
      </c>
      <c r="C6" t="s">
        <v>5</v>
      </c>
      <c r="D6" t="s">
        <v>54</v>
      </c>
    </row>
    <row r="7" spans="1:4" x14ac:dyDescent="0.25">
      <c r="A7" t="s">
        <v>140</v>
      </c>
      <c r="B7" t="s">
        <v>141</v>
      </c>
      <c r="C7" t="s">
        <v>5</v>
      </c>
      <c r="D7" t="s">
        <v>55</v>
      </c>
    </row>
    <row r="8" spans="1:4" x14ac:dyDescent="0.25">
      <c r="A8" t="s">
        <v>130</v>
      </c>
      <c r="B8" t="s">
        <v>63</v>
      </c>
      <c r="C8" t="s">
        <v>5</v>
      </c>
      <c r="D8" t="s">
        <v>56</v>
      </c>
    </row>
    <row r="9" spans="1:4" x14ac:dyDescent="0.25">
      <c r="A9" t="s">
        <v>113</v>
      </c>
      <c r="B9" t="s">
        <v>67</v>
      </c>
      <c r="C9" t="s">
        <v>5</v>
      </c>
      <c r="D9" t="s">
        <v>52</v>
      </c>
    </row>
    <row r="10" spans="1:4" x14ac:dyDescent="0.25">
      <c r="A10" t="s">
        <v>129</v>
      </c>
      <c r="B10" t="s">
        <v>64</v>
      </c>
      <c r="C10" t="s">
        <v>5</v>
      </c>
      <c r="D10" t="s">
        <v>57</v>
      </c>
    </row>
    <row r="11" spans="1:4" ht="14.25" customHeight="1" x14ac:dyDescent="0.25">
      <c r="A11" t="s">
        <v>114</v>
      </c>
      <c r="B11" t="s">
        <v>65</v>
      </c>
      <c r="C11" t="s">
        <v>5</v>
      </c>
      <c r="D11" t="s">
        <v>58</v>
      </c>
    </row>
  </sheetData>
  <autoFilter ref="A1:D11" xr:uid="{999D81EA-FBC9-5F4B-8779-628140E08614}"/>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B4CFA-AAEF-4FC6-A49B-107CEE80A317}">
  <dimension ref="A1:X3"/>
  <sheetViews>
    <sheetView workbookViewId="0">
      <selection activeCell="C2" sqref="C2"/>
    </sheetView>
  </sheetViews>
  <sheetFormatPr defaultColWidth="8.7109375" defaultRowHeight="15" x14ac:dyDescent="0.25"/>
  <cols>
    <col min="1" max="1" width="36.42578125" customWidth="1"/>
    <col min="2" max="2" width="25.28515625" customWidth="1"/>
    <col min="3" max="3" width="53" customWidth="1"/>
    <col min="4" max="4" width="15.140625" customWidth="1"/>
    <col min="5" max="6" width="17.42578125" customWidth="1"/>
    <col min="7" max="7" width="20.42578125" customWidth="1"/>
    <col min="8" max="8" width="13.42578125" bestFit="1" customWidth="1"/>
    <col min="9" max="9" width="25.42578125" customWidth="1"/>
  </cols>
  <sheetData>
    <row r="1" spans="1:24" ht="25.5" customHeight="1" thickBot="1" x14ac:dyDescent="0.35">
      <c r="A1" t="s">
        <v>39</v>
      </c>
      <c r="B1" t="s">
        <v>40</v>
      </c>
      <c r="C1" s="1" t="s">
        <v>10</v>
      </c>
      <c r="D1" t="s">
        <v>26</v>
      </c>
      <c r="E1" t="s">
        <v>77</v>
      </c>
      <c r="F1" t="s">
        <v>27</v>
      </c>
      <c r="G1" t="s">
        <v>78</v>
      </c>
      <c r="H1" t="s">
        <v>38</v>
      </c>
      <c r="I1" t="s">
        <v>79</v>
      </c>
      <c r="J1" t="s">
        <v>80</v>
      </c>
      <c r="K1" t="s">
        <v>81</v>
      </c>
      <c r="L1" t="s">
        <v>82</v>
      </c>
      <c r="M1" t="s">
        <v>83</v>
      </c>
      <c r="N1" t="s">
        <v>84</v>
      </c>
      <c r="O1" t="s">
        <v>85</v>
      </c>
      <c r="P1" t="s">
        <v>86</v>
      </c>
      <c r="Q1" t="s">
        <v>87</v>
      </c>
      <c r="R1" t="s">
        <v>28</v>
      </c>
      <c r="S1" t="s">
        <v>88</v>
      </c>
      <c r="T1" s="4" t="s">
        <v>89</v>
      </c>
      <c r="U1" s="4" t="s">
        <v>90</v>
      </c>
      <c r="V1" s="4" t="s">
        <v>91</v>
      </c>
      <c r="W1" s="4" t="s">
        <v>92</v>
      </c>
      <c r="X1" t="s">
        <v>48</v>
      </c>
    </row>
    <row r="2" spans="1:24" ht="60.75" thickTop="1" x14ac:dyDescent="0.25">
      <c r="A2" t="s">
        <v>52</v>
      </c>
      <c r="B2" t="s">
        <v>5</v>
      </c>
      <c r="C2" s="2" t="s">
        <v>70</v>
      </c>
    </row>
    <row r="3" spans="1:24" x14ac:dyDescent="0.25">
      <c r="C3" s="2"/>
    </row>
  </sheetData>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D6ECC-0BFD-4409-A93E-9F9ABC9C3BE7}">
  <sheetPr>
    <tabColor rgb="FFFFFF00"/>
  </sheetPr>
  <dimension ref="A1:E1"/>
  <sheetViews>
    <sheetView workbookViewId="0">
      <selection activeCell="B8" sqref="B8"/>
    </sheetView>
  </sheetViews>
  <sheetFormatPr defaultColWidth="8.7109375" defaultRowHeight="15" x14ac:dyDescent="0.25"/>
  <cols>
    <col min="1" max="1" width="15.140625" bestFit="1" customWidth="1"/>
    <col min="2" max="2" width="59" bestFit="1" customWidth="1"/>
    <col min="3" max="3" width="15.140625" customWidth="1"/>
  </cols>
  <sheetData>
    <row r="1" spans="1:5" x14ac:dyDescent="0.25">
      <c r="A1" t="s">
        <v>45</v>
      </c>
      <c r="B1" t="s">
        <v>46</v>
      </c>
      <c r="C1" t="s">
        <v>39</v>
      </c>
      <c r="D1" t="s">
        <v>42</v>
      </c>
      <c r="E1" t="s">
        <v>10</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2E280-092F-4777-8984-8212A8DAB750}">
  <dimension ref="A1:B10"/>
  <sheetViews>
    <sheetView workbookViewId="0">
      <selection activeCell="B10" sqref="B10"/>
    </sheetView>
  </sheetViews>
  <sheetFormatPr defaultColWidth="8.7109375" defaultRowHeight="15" x14ac:dyDescent="0.25"/>
  <cols>
    <col min="1" max="1" width="16.28515625" customWidth="1"/>
    <col min="2" max="2" width="24.42578125" bestFit="1" customWidth="1"/>
    <col min="3" max="3" width="21.42578125" bestFit="1" customWidth="1"/>
    <col min="4" max="4" width="24.42578125" customWidth="1"/>
  </cols>
  <sheetData>
    <row r="1" spans="1:2" x14ac:dyDescent="0.25">
      <c r="A1" t="s">
        <v>41</v>
      </c>
      <c r="B1" t="s">
        <v>71</v>
      </c>
    </row>
    <row r="2" spans="1:2" x14ac:dyDescent="0.25">
      <c r="A2" t="s">
        <v>29</v>
      </c>
      <c r="B2" t="s">
        <v>5</v>
      </c>
    </row>
    <row r="3" spans="1:2" x14ac:dyDescent="0.25">
      <c r="A3" t="s">
        <v>30</v>
      </c>
    </row>
    <row r="4" spans="1:2" x14ac:dyDescent="0.25">
      <c r="A4" t="s">
        <v>31</v>
      </c>
    </row>
    <row r="5" spans="1:2" x14ac:dyDescent="0.25">
      <c r="A5" t="s">
        <v>32</v>
      </c>
    </row>
    <row r="6" spans="1:2" x14ac:dyDescent="0.25">
      <c r="A6" t="s">
        <v>33</v>
      </c>
      <c r="B6" t="s">
        <v>5</v>
      </c>
    </row>
    <row r="7" spans="1:2" x14ac:dyDescent="0.25">
      <c r="A7" t="s">
        <v>34</v>
      </c>
    </row>
    <row r="8" spans="1:2" x14ac:dyDescent="0.25">
      <c r="A8" t="s">
        <v>35</v>
      </c>
      <c r="B8" t="s">
        <v>110</v>
      </c>
    </row>
    <row r="9" spans="1:2" x14ac:dyDescent="0.25">
      <c r="A9" t="s">
        <v>36</v>
      </c>
    </row>
    <row r="10" spans="1:2" x14ac:dyDescent="0.25">
      <c r="A10" t="s">
        <v>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51A03-03CC-424E-A8A3-C2D24B8653CA}">
  <dimension ref="A1:C5"/>
  <sheetViews>
    <sheetView tabSelected="1" workbookViewId="0">
      <selection activeCell="B3" sqref="B3"/>
    </sheetView>
  </sheetViews>
  <sheetFormatPr defaultColWidth="8.7109375" defaultRowHeight="15" x14ac:dyDescent="0.25"/>
  <cols>
    <col min="1" max="1" width="15.140625" customWidth="1"/>
    <col min="2" max="2" width="12.7109375" customWidth="1"/>
  </cols>
  <sheetData>
    <row r="1" spans="1:3" x14ac:dyDescent="0.25">
      <c r="A1" t="s">
        <v>41</v>
      </c>
      <c r="B1" t="s">
        <v>42</v>
      </c>
      <c r="C1" s="1" t="s">
        <v>93</v>
      </c>
    </row>
    <row r="2" spans="1:3" x14ac:dyDescent="0.25">
      <c r="A2" t="s">
        <v>94</v>
      </c>
      <c r="B2" t="s">
        <v>95</v>
      </c>
      <c r="C2" s="1"/>
    </row>
    <row r="3" spans="1:3" x14ac:dyDescent="0.25">
      <c r="A3" t="s">
        <v>96</v>
      </c>
      <c r="B3" t="s">
        <v>95</v>
      </c>
      <c r="C3" s="1"/>
    </row>
    <row r="4" spans="1:3" x14ac:dyDescent="0.25">
      <c r="A4" t="s">
        <v>97</v>
      </c>
      <c r="B4" t="s">
        <v>95</v>
      </c>
      <c r="C4" s="1"/>
    </row>
    <row r="5" spans="1:3" x14ac:dyDescent="0.25">
      <c r="A5" t="s">
        <v>98</v>
      </c>
      <c r="B5" t="s">
        <v>95</v>
      </c>
      <c r="C5"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2A2CB-11AF-4645-811D-C66964301C49}">
  <dimension ref="A1:J2"/>
  <sheetViews>
    <sheetView workbookViewId="0">
      <selection activeCell="C2" sqref="C2"/>
    </sheetView>
  </sheetViews>
  <sheetFormatPr defaultColWidth="8.7109375" defaultRowHeight="15" x14ac:dyDescent="0.25"/>
  <sheetData>
    <row r="1" spans="1:10" ht="18" thickBot="1" x14ac:dyDescent="0.35">
      <c r="A1" t="s">
        <v>99</v>
      </c>
      <c r="B1" s="4" t="s">
        <v>100</v>
      </c>
      <c r="C1" s="4" t="s">
        <v>101</v>
      </c>
      <c r="D1" s="4" t="s">
        <v>102</v>
      </c>
      <c r="E1" s="4" t="s">
        <v>103</v>
      </c>
      <c r="F1" s="4" t="s">
        <v>104</v>
      </c>
      <c r="G1" s="4" t="s">
        <v>105</v>
      </c>
      <c r="H1" s="4" t="s">
        <v>4</v>
      </c>
      <c r="I1" s="4" t="s">
        <v>106</v>
      </c>
      <c r="J1" s="4" t="s">
        <v>107</v>
      </c>
    </row>
    <row r="2" spans="1:10" ht="15.75" thickTop="1" x14ac:dyDescent="0.25">
      <c r="A2">
        <v>1</v>
      </c>
      <c r="B2" t="s">
        <v>108</v>
      </c>
      <c r="C2" t="str">
        <f t="shared" ref="C2" si="0">"http://hl7.org/fhir/us/core/StructureDefinition/us-core-"&amp;LOWER(B2)</f>
        <v>http://hl7.org/fhir/us/core/StructureDefinition/us-core-!encounter</v>
      </c>
      <c r="D2" t="s">
        <v>109</v>
      </c>
      <c r="E2" t="s">
        <v>110</v>
      </c>
      <c r="F2" t="s">
        <v>111</v>
      </c>
      <c r="J2" s="5" t="str">
        <f t="shared" ref="J2" si="1">"Fetches a bundle of all "&amp;B2&amp;" resources matching the specified "&amp;SUBSTITUTE(D2,","," and ")</f>
        <v>Fetches a bundle of all !Encounter resources matching the specified class and date</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9C2ED-EDEB-47AB-8C1E-1290512B1D2F}">
  <dimension ref="A1:Q2"/>
  <sheetViews>
    <sheetView topLeftCell="C1" workbookViewId="0">
      <selection activeCell="F12" sqref="F12"/>
    </sheetView>
  </sheetViews>
  <sheetFormatPr defaultColWidth="8.7109375" defaultRowHeight="15" x14ac:dyDescent="0.25"/>
  <cols>
    <col min="1" max="1" width="63.42578125" bestFit="1" customWidth="1"/>
    <col min="2" max="2" width="19.7109375" customWidth="1"/>
    <col min="3" max="3" width="19.42578125" customWidth="1"/>
    <col min="4" max="5" width="9.140625" customWidth="1"/>
    <col min="6" max="6" width="22.7109375" customWidth="1"/>
    <col min="7" max="7" width="9.140625" customWidth="1"/>
    <col min="8" max="8" width="34.7109375" customWidth="1"/>
    <col min="9" max="15" width="9.140625" customWidth="1"/>
    <col min="16" max="16" width="14.42578125" customWidth="1"/>
    <col min="17" max="17" width="20.7109375" bestFit="1" customWidth="1"/>
  </cols>
  <sheetData>
    <row r="1" spans="1:17" x14ac:dyDescent="0.25">
      <c r="A1" t="s">
        <v>12</v>
      </c>
      <c r="B1" t="s">
        <v>2</v>
      </c>
      <c r="C1" t="s">
        <v>13</v>
      </c>
      <c r="D1" t="s">
        <v>14</v>
      </c>
      <c r="E1" t="s">
        <v>15</v>
      </c>
      <c r="F1" t="s">
        <v>43</v>
      </c>
      <c r="G1" t="s">
        <v>16</v>
      </c>
      <c r="H1" t="s">
        <v>17</v>
      </c>
      <c r="I1" t="s">
        <v>18</v>
      </c>
      <c r="J1" t="s">
        <v>19</v>
      </c>
      <c r="K1" t="s">
        <v>20</v>
      </c>
      <c r="L1" t="s">
        <v>21</v>
      </c>
      <c r="M1" t="s">
        <v>22</v>
      </c>
      <c r="N1" t="s">
        <v>23</v>
      </c>
      <c r="O1" t="s">
        <v>24</v>
      </c>
      <c r="P1" t="s">
        <v>25</v>
      </c>
      <c r="Q1" t="s">
        <v>47</v>
      </c>
    </row>
    <row r="2" spans="1:17" x14ac:dyDescent="0.25">
      <c r="A2"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config</vt:lpstr>
      <vt:lpstr>meta</vt:lpstr>
      <vt:lpstr>igs</vt:lpstr>
      <vt:lpstr>profiles</vt:lpstr>
      <vt:lpstr>resources</vt:lpstr>
      <vt:lpstr>ops</vt:lpstr>
      <vt:lpstr>interactions</vt:lpstr>
      <vt:lpstr>rest_interactions</vt:lpstr>
      <vt:lpstr>sp_combos</vt:lpstr>
      <vt:lpstr>sps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Dave deRoode</cp:lastModifiedBy>
  <dcterms:created xsi:type="dcterms:W3CDTF">2019-02-19T18:23:22Z</dcterms:created>
  <dcterms:modified xsi:type="dcterms:W3CDTF">2026-03-02T22:40:19Z</dcterms:modified>
</cp:coreProperties>
</file>