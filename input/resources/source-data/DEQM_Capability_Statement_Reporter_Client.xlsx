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SourceControl\Git\HL7\davinci-deqm\input\resources\source-data\"/>
    </mc:Choice>
  </mc:AlternateContent>
  <xr:revisionPtr revIDLastSave="0" documentId="13_ncr:1_{62FDB49A-44C9-4ADF-BADA-64AC2720B917}" xr6:coauthVersionLast="47" xr6:coauthVersionMax="47" xr10:uidLastSave="{00000000-0000-0000-0000-000000000000}"/>
  <bookViews>
    <workbookView xWindow="-110" yWindow="-110" windowWidth="19420" windowHeight="11500" activeTab="1" xr2:uid="{33C1B24A-521B-4A24-AA1F-999D8048322A}"/>
  </bookViews>
  <sheets>
    <sheet name="config" sheetId="11" r:id="rId1"/>
    <sheet name="meta" sheetId="1" r:id="rId2"/>
    <sheet name="igs" sheetId="8" r:id="rId3"/>
    <sheet name="profiles" sheetId="2" r:id="rId4"/>
    <sheet name="resources" sheetId="3" r:id="rId5"/>
    <sheet name="ops" sheetId="7" r:id="rId6"/>
    <sheet name="interactions" sheetId="5" r:id="rId7"/>
    <sheet name="rest_interactions" sheetId="9" r:id="rId8"/>
    <sheet name="sps" sheetId="4" r:id="rId9"/>
    <sheet name="sp_combos" sheetId="10" r:id="rId10"/>
  </sheets>
  <definedNames>
    <definedName name="_xlnm._FilterDatabase" localSheetId="3" hidden="1">profiles!$A$1:$D$11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 i="10" l="1"/>
  <c r="C2"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X1" authorId="0" shapeId="0" xr:uid="{213A4C42-0F7E-44D4-9CC5-01148BB70227}">
      <text>
        <r>
          <rPr>
            <b/>
            <sz val="9"/>
            <color indexed="81"/>
            <rFont val="Tahoma"/>
            <family val="2"/>
          </rPr>
          <t>User:</t>
        </r>
        <r>
          <rPr>
            <sz val="9"/>
            <color indexed="81"/>
            <rFont val="Tahoma"/>
            <family val="2"/>
          </rPr>
          <t xml:space="preserve">
not used -for algorithmic generation of combos</t>
        </r>
      </text>
    </comment>
  </commentList>
</comments>
</file>

<file path=xl/sharedStrings.xml><?xml version="1.0" encoding="utf-8"?>
<sst xmlns="http://schemas.openxmlformats.org/spreadsheetml/2006/main" count="168" uniqueCount="140">
  <si>
    <t>Value</t>
  </si>
  <si>
    <t>Element</t>
  </si>
  <si>
    <t>Conformance</t>
  </si>
  <si>
    <t>id</t>
  </si>
  <si>
    <t>description</t>
  </si>
  <si>
    <t>SHALL</t>
  </si>
  <si>
    <t>ig</t>
  </si>
  <si>
    <t>Profile</t>
  </si>
  <si>
    <t>mode</t>
  </si>
  <si>
    <t>documentation</t>
  </si>
  <si>
    <t>security</t>
  </si>
  <si>
    <t>Resource</t>
  </si>
  <si>
    <t>Parameter</t>
  </si>
  <si>
    <t>Exists</t>
  </si>
  <si>
    <t>Update</t>
  </si>
  <si>
    <t>Type</t>
  </si>
  <si>
    <t>Expression</t>
  </si>
  <si>
    <t>ands</t>
  </si>
  <si>
    <t>ors</t>
  </si>
  <si>
    <t>Modifiers</t>
  </si>
  <si>
    <t>Comparators</t>
  </si>
  <si>
    <t>References</t>
  </si>
  <si>
    <t>Chains</t>
  </si>
  <si>
    <t>Description</t>
  </si>
  <si>
    <t>Example Query</t>
  </si>
  <si>
    <t>versioning</t>
  </si>
  <si>
    <t>readHistory</t>
  </si>
  <si>
    <t>referencePolicy</t>
  </si>
  <si>
    <t>create</t>
  </si>
  <si>
    <t>search-type</t>
  </si>
  <si>
    <t>read</t>
  </si>
  <si>
    <t>vread</t>
  </si>
  <si>
    <t>update</t>
  </si>
  <si>
    <t>patch</t>
  </si>
  <si>
    <t>delete</t>
  </si>
  <si>
    <t>history-instance</t>
  </si>
  <si>
    <t>history-type</t>
  </si>
  <si>
    <t>updateCreate</t>
  </si>
  <si>
    <t>type</t>
  </si>
  <si>
    <t>conformance</t>
  </si>
  <si>
    <t>code</t>
  </si>
  <si>
    <t>conf</t>
  </si>
  <si>
    <t>Base</t>
  </si>
  <si>
    <t>Name</t>
  </si>
  <si>
    <t>name</t>
  </si>
  <si>
    <t>definition</t>
  </si>
  <si>
    <t>combo_pairs</t>
  </si>
  <si>
    <t>forbidden_s_combos</t>
  </si>
  <si>
    <t>DeviceRequest</t>
  </si>
  <si>
    <t>MedicationAdministration</t>
  </si>
  <si>
    <t>MeasureReport</t>
  </si>
  <si>
    <t>Practitioner</t>
  </si>
  <si>
    <t>DeviceUseStatement</t>
  </si>
  <si>
    <t>Organization</t>
  </si>
  <si>
    <t>Coverage</t>
  </si>
  <si>
    <t>MedicationRequest</t>
  </si>
  <si>
    <t>DEQM DeviceRequest Profile</t>
  </si>
  <si>
    <t>DEQM MedicationAdministration Profile</t>
  </si>
  <si>
    <t>DEQM Practitioner Profile</t>
  </si>
  <si>
    <t>DEQM DeviceUseStatement Profile</t>
  </si>
  <si>
    <t>DEQM Coverage Profile</t>
  </si>
  <si>
    <t>DEQM MedicationRequest Profile</t>
  </si>
  <si>
    <t>DEQM Summary MeasureReport Profile</t>
  </si>
  <si>
    <t>DEQM Individual MeasureReport Profile</t>
  </si>
  <si>
    <t>uri</t>
  </si>
  <si>
    <t>QI Core</t>
  </si>
  <si>
    <t>client</t>
  </si>
  <si>
    <t>SHOULD</t>
  </si>
  <si>
    <t>conf_MeasureReport</t>
  </si>
  <si>
    <t>CFQM</t>
  </si>
  <si>
    <t>reporter-client</t>
  </si>
  <si>
    <t>This profile defines the expected capabilities of a Da Vinci DEQM Reporter Client when conforming to the Da Vinci DEQM Implementation Guide.  Reporters include systems that are primary reporters of patient healthcare information and systems that consume data from Producers.   This CapabilityStatement resource includes the complete list of the *recommended*  Da Vinci DEQM profiles and RESTful operations that a Da Vinci DEQM Reporter Client could support. Clients have the option of choosing from this list based on their local use cases and other contextual requirements.</t>
  </si>
  <si>
    <t>doc</t>
  </si>
  <si>
    <t>transaction</t>
  </si>
  <si>
    <t>MAY</t>
  </si>
  <si>
    <t>batch</t>
  </si>
  <si>
    <t>search-system</t>
  </si>
  <si>
    <t>history-system</t>
  </si>
  <si>
    <t>index</t>
  </si>
  <si>
    <t>base</t>
  </si>
  <si>
    <t>profile</t>
  </si>
  <si>
    <t>combo</t>
  </si>
  <si>
    <t>combo_conf</t>
  </si>
  <si>
    <t>types</t>
  </si>
  <si>
    <t>fixed_kv</t>
  </si>
  <si>
    <t>example</t>
  </si>
  <si>
    <t>imp_note</t>
  </si>
  <si>
    <t>!Encounter</t>
  </si>
  <si>
    <t>class,date</t>
  </si>
  <si>
    <t>date,token</t>
  </si>
  <si>
    <t>version</t>
  </si>
  <si>
    <t>fhirVersion</t>
  </si>
  <si>
    <t>versioning_conf</t>
  </si>
  <si>
    <t>readHistory_conf</t>
  </si>
  <si>
    <t>updateCreate_conf</t>
  </si>
  <si>
    <t>conditionalCreate</t>
  </si>
  <si>
    <t>conditionalCreate_conf</t>
  </si>
  <si>
    <t>conditionalRead</t>
  </si>
  <si>
    <t>conditionalRead_conf</t>
  </si>
  <si>
    <t>conditionalUpdate</t>
  </si>
  <si>
    <t>conditionalUpdate_conf</t>
  </si>
  <si>
    <t>conditionalDelete</t>
  </si>
  <si>
    <t>conditionalDelete_conf</t>
  </si>
  <si>
    <t>referencePolicy_conf</t>
  </si>
  <si>
    <t>shall_include</t>
  </si>
  <si>
    <t>should_include</t>
  </si>
  <si>
    <t>shall_revinclude</t>
  </si>
  <si>
    <t>should_revinclude</t>
  </si>
  <si>
    <t>http://hl7.org/fhir/us/davinci-deqm/StructureDefinition/devicerequest-deqm</t>
  </si>
  <si>
    <t>http://hl7.org/fhir/us/davinci-deqm/StructureDefinition/medicationadministration-deqm</t>
  </si>
  <si>
    <t>http://hl7.org/fhir/us/davinci-deqm/StructureDefinition/summary-measurereport-deqm</t>
  </si>
  <si>
    <t>http://hl7.org/fhir/us/davinci-deqm/StructureDefinition/practitioner-deqm</t>
  </si>
  <si>
    <t>http://hl7.org/fhir/us/davinci-deqm/StructureDefinition/deviceusestatement-deqm</t>
  </si>
  <si>
    <t>http://hl7.org/fhir/us/davinci-deqm/StructureDefinition/coverage-deqm</t>
  </si>
  <si>
    <t>http://hl7.org/fhir/us/davinci-deqm/StructureDefinition/indv-measurereport-deqm</t>
  </si>
  <si>
    <t>http://hl7.org/fhir/us/davinci-deqm/StructureDefinition/medicationrequest-deqm</t>
  </si>
  <si>
    <t>source</t>
  </si>
  <si>
    <t>//ERICS-AIR-2/ehaas/Documents/FHIR/Davinci-DEQM/input/</t>
  </si>
  <si>
    <t>packagepath</t>
  </si>
  <si>
    <t>//ERICS-AIR-2/ehaas/Documents/FHIR/Davinci-DEQM/output/</t>
  </si>
  <si>
    <t>pre</t>
  </si>
  <si>
    <t>Da Vinci</t>
  </si>
  <si>
    <t>canon</t>
  </si>
  <si>
    <t>publisher</t>
  </si>
  <si>
    <t>HL7 International - Clinical Quality Information Work Group</t>
  </si>
  <si>
    <t>publishersystem</t>
  </si>
  <si>
    <t>url</t>
  </si>
  <si>
    <t>publishervalue</t>
  </si>
  <si>
    <t>http://www.hl7.org/Special/committees/cqi/index.cfm</t>
  </si>
  <si>
    <t>4.0.1</t>
  </si>
  <si>
    <t>For general security consideration refer to the [Security and Privacy Considerations](http://hl7.org/fhir/R4/secpriv-module.html).</t>
  </si>
  <si>
    <t>The DaVinci DEQM Reporter Client **SHALL** be capable of supporting at least one of the DEQM MeasureReport Profiles listed above and all the DEQM, CQFM and QI Core Profiles they reference.</t>
  </si>
  <si>
    <t>http://hl7.org/fhir/us/davinci-deqm/</t>
  </si>
  <si>
    <t>3.1.0</t>
  </si>
  <si>
    <t>http://hl7.org/fhir/us/davinci-deqm/ImplementationGuide/hl7.fhir.us.davinci-deqm|3.1.0</t>
  </si>
  <si>
    <t>http://hl7.org/fhir/us/qicore/ImplementationGuide/hl7.fhir.us.qicore|4.1.0</t>
  </si>
  <si>
    <t>http://hl7.org/fhir/us/cqfmeasures/ImplementationGuide/hl7.fhir.us.cqfmeasures|3.0.0</t>
  </si>
  <si>
    <t>http://hl7.org/fhir/us/qicore/StructureDefinition/qicore-organization</t>
  </si>
  <si>
    <t>QI Core Organization Profile</t>
  </si>
  <si>
    <t>Da Vinci DEQM Producer Client **SHALL** support at least one of the following  transactions defined in the *Framework* Section of  this  Implementation Guide:
- Individual Reporting
- Summary Reporting
DEQM Producer Client **SHALL** support at least one of 'batch' or 'transaction'.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</si>
</sst>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3"/>
      <color theme="3"/>
      <name val="Calibri"/>
      <family val="2"/>
      <scheme val="minor"/>
    </font>
    <font>
      <sz val="11"/>
      <color rgb="FF333333"/>
      <name val="Verdana"/>
      <family val="2"/>
    </font>
    <font>
      <b/>
      <sz val="9"/>
      <color indexed="81"/>
      <name val="Tahoma"/>
      <family val="2"/>
    </font>
    <font>
      <sz val="9"/>
      <color indexed="81"/>
      <name val="Tahoma"/>
      <family val="2"/>
    </font>
    <font>
      <u/>
      <sz val="11"/>
      <color theme="10"/>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right/>
      <top/>
      <bottom style="thick">
        <color theme="4" tint="0.499984740745262"/>
      </bottom>
      <diagonal/>
    </border>
  </borders>
  <cellStyleXfs count="3">
    <xf numFmtId="0" fontId="0" fillId="0" borderId="0"/>
    <xf numFmtId="0" fontId="1" fillId="0" borderId="1" applyNumberFormat="0" applyFill="0" applyAlignment="0" applyProtection="0"/>
    <xf numFmtId="0" fontId="5" fillId="0" borderId="0" applyNumberFormat="0" applyFill="0" applyBorder="0" applyAlignment="0" applyProtection="0"/>
  </cellStyleXfs>
  <cellXfs count="7">
    <xf numFmtId="0" fontId="0" fillId="0" borderId="0" xfId="0"/>
    <xf numFmtId="0" fontId="0" fillId="0" borderId="0" xfId="0" applyAlignment="1">
      <alignment wrapText="1"/>
    </xf>
    <xf numFmtId="0" fontId="0" fillId="0" borderId="0" xfId="0" quotePrefix="1" applyAlignment="1">
      <alignment wrapText="1"/>
    </xf>
    <xf numFmtId="0" fontId="0" fillId="2" borderId="0" xfId="0" applyFill="1"/>
    <xf numFmtId="0" fontId="1" fillId="0" borderId="1" xfId="1"/>
    <xf numFmtId="0" fontId="2" fillId="0" borderId="0" xfId="0" applyFont="1"/>
    <xf numFmtId="0" fontId="5" fillId="0" borderId="0" xfId="2" applyFill="1"/>
  </cellXfs>
  <cellStyles count="3">
    <cellStyle name="Heading 2" xfId="1" builtinId="17"/>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hyperlink" Target="http://hl7.org/fhir/us/davinci-deqm/ImplementationGuide/hl7.fhir.us.davinci-deqm|3.1.0"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C67B7-00C2-40ED-8335-934B8B849BEB}">
  <dimension ref="A1:B8"/>
  <sheetViews>
    <sheetView workbookViewId="0">
      <selection activeCell="B5" sqref="B5"/>
    </sheetView>
  </sheetViews>
  <sheetFormatPr defaultColWidth="8.7109375" defaultRowHeight="15" x14ac:dyDescent="0.25"/>
  <sheetData>
    <row r="1" spans="1:2" x14ac:dyDescent="0.25">
      <c r="A1" t="s">
        <v>43</v>
      </c>
      <c r="B1" t="s">
        <v>0</v>
      </c>
    </row>
    <row r="2" spans="1:2" x14ac:dyDescent="0.25">
      <c r="A2" t="s">
        <v>116</v>
      </c>
      <c r="B2" t="s">
        <v>117</v>
      </c>
    </row>
    <row r="3" spans="1:2" x14ac:dyDescent="0.25">
      <c r="A3" t="s">
        <v>118</v>
      </c>
      <c r="B3" t="s">
        <v>119</v>
      </c>
    </row>
    <row r="4" spans="1:2" x14ac:dyDescent="0.25">
      <c r="A4" t="s">
        <v>120</v>
      </c>
      <c r="B4" t="s">
        <v>121</v>
      </c>
    </row>
    <row r="5" spans="1:2" x14ac:dyDescent="0.25">
      <c r="A5" t="s">
        <v>122</v>
      </c>
      <c r="B5" t="s">
        <v>132</v>
      </c>
    </row>
    <row r="6" spans="1:2" x14ac:dyDescent="0.25">
      <c r="A6" t="s">
        <v>123</v>
      </c>
      <c r="B6" t="s">
        <v>124</v>
      </c>
    </row>
    <row r="7" spans="1:2" x14ac:dyDescent="0.25">
      <c r="A7" t="s">
        <v>125</v>
      </c>
      <c r="B7" t="s">
        <v>126</v>
      </c>
    </row>
    <row r="8" spans="1:2" x14ac:dyDescent="0.25">
      <c r="A8" t="s">
        <v>127</v>
      </c>
      <c r="B8" t="s">
        <v>128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F3286-55C1-40D0-93FC-C97EF26956B8}">
  <dimension ref="A1:B9"/>
  <sheetViews>
    <sheetView tabSelected="1" workbookViewId="0">
      <selection activeCell="B9" sqref="B9"/>
    </sheetView>
  </sheetViews>
  <sheetFormatPr defaultColWidth="8.7109375" defaultRowHeight="15" x14ac:dyDescent="0.25"/>
  <cols>
    <col min="1" max="1" width="24.7109375" customWidth="1"/>
    <col min="2" max="2" width="95.42578125" bestFit="1" customWidth="1"/>
  </cols>
  <sheetData>
    <row r="1" spans="1:2" x14ac:dyDescent="0.25">
      <c r="A1" t="s">
        <v>1</v>
      </c>
      <c r="B1" t="s">
        <v>0</v>
      </c>
    </row>
    <row r="2" spans="1:2" x14ac:dyDescent="0.25">
      <c r="A2" t="s">
        <v>3</v>
      </c>
      <c r="B2" t="s">
        <v>70</v>
      </c>
    </row>
    <row r="3" spans="1:2" x14ac:dyDescent="0.25">
      <c r="A3" t="s">
        <v>90</v>
      </c>
      <c r="B3" t="s">
        <v>133</v>
      </c>
    </row>
    <row r="4" spans="1:2" x14ac:dyDescent="0.25">
      <c r="A4" t="s">
        <v>91</v>
      </c>
      <c r="B4" t="s">
        <v>129</v>
      </c>
    </row>
    <row r="5" spans="1:2" ht="90" x14ac:dyDescent="0.25">
      <c r="A5" t="s">
        <v>4</v>
      </c>
      <c r="B5" s="1" t="s">
        <v>71</v>
      </c>
    </row>
    <row r="6" spans="1:2" x14ac:dyDescent="0.25">
      <c r="A6" t="s">
        <v>6</v>
      </c>
      <c r="B6" s="6" t="s">
        <v>134</v>
      </c>
    </row>
    <row r="7" spans="1:2" x14ac:dyDescent="0.25">
      <c r="A7" t="s">
        <v>8</v>
      </c>
      <c r="B7" t="s">
        <v>66</v>
      </c>
    </row>
    <row r="8" spans="1:2" ht="105" x14ac:dyDescent="0.25">
      <c r="A8" t="s">
        <v>9</v>
      </c>
      <c r="B8" s="1" t="s">
        <v>139</v>
      </c>
    </row>
    <row r="9" spans="1:2" ht="30" x14ac:dyDescent="0.25">
      <c r="A9" t="s">
        <v>10</v>
      </c>
      <c r="B9" s="2" t="s">
        <v>130</v>
      </c>
    </row>
  </sheetData>
  <hyperlinks>
    <hyperlink ref="B6" r:id="rId1" xr:uid="{2B88F202-7AA0-4070-AC8E-E241F4CD725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29A918-BBB6-6345-897C-371FBE4213DF}">
  <dimension ref="A1:B3"/>
  <sheetViews>
    <sheetView workbookViewId="0">
      <selection activeCell="B22" sqref="B22"/>
    </sheetView>
  </sheetViews>
  <sheetFormatPr defaultColWidth="11.42578125" defaultRowHeight="15" x14ac:dyDescent="0.25"/>
  <cols>
    <col min="2" max="2" width="68.140625" customWidth="1"/>
    <col min="3" max="3" width="39.28515625" customWidth="1"/>
  </cols>
  <sheetData>
    <row r="1" spans="1:2" x14ac:dyDescent="0.25">
      <c r="A1" t="s">
        <v>44</v>
      </c>
      <c r="B1" t="s">
        <v>64</v>
      </c>
    </row>
    <row r="2" spans="1:2" x14ac:dyDescent="0.25">
      <c r="A2" t="s">
        <v>65</v>
      </c>
      <c r="B2" t="s">
        <v>135</v>
      </c>
    </row>
    <row r="3" spans="1:2" x14ac:dyDescent="0.25">
      <c r="A3" t="s">
        <v>69</v>
      </c>
      <c r="B3" t="s">
        <v>136</v>
      </c>
    </row>
  </sheetData>
  <pageMargins left="0.7" right="0.7" top="0.75" bottom="0.75" header="0.3" footer="0.3"/>
  <pageSetup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9EF60-0633-48C5-B394-C56F006BD6B3}">
  <dimension ref="A1:D10"/>
  <sheetViews>
    <sheetView workbookViewId="0">
      <selection activeCell="B7" sqref="B7"/>
    </sheetView>
  </sheetViews>
  <sheetFormatPr defaultColWidth="8.7109375" defaultRowHeight="15" x14ac:dyDescent="0.25"/>
  <cols>
    <col min="1" max="1" width="98.42578125" customWidth="1"/>
    <col min="2" max="2" width="60.42578125" bestFit="1" customWidth="1"/>
    <col min="3" max="3" width="20.140625" customWidth="1"/>
    <col min="4" max="4" width="16.140625" customWidth="1"/>
  </cols>
  <sheetData>
    <row r="1" spans="1:4" x14ac:dyDescent="0.25">
      <c r="A1" t="s">
        <v>7</v>
      </c>
      <c r="B1" t="s">
        <v>43</v>
      </c>
      <c r="C1" t="s">
        <v>2</v>
      </c>
      <c r="D1" t="s">
        <v>15</v>
      </c>
    </row>
    <row r="2" spans="1:4" x14ac:dyDescent="0.25">
      <c r="A2" t="s">
        <v>108</v>
      </c>
      <c r="B2" t="s">
        <v>56</v>
      </c>
      <c r="C2" t="s">
        <v>5</v>
      </c>
      <c r="D2" t="s">
        <v>48</v>
      </c>
    </row>
    <row r="3" spans="1:4" x14ac:dyDescent="0.25">
      <c r="A3" t="s">
        <v>109</v>
      </c>
      <c r="B3" t="s">
        <v>57</v>
      </c>
      <c r="C3" t="s">
        <v>5</v>
      </c>
      <c r="D3" t="s">
        <v>49</v>
      </c>
    </row>
    <row r="4" spans="1:4" x14ac:dyDescent="0.25">
      <c r="A4" t="s">
        <v>110</v>
      </c>
      <c r="B4" t="s">
        <v>62</v>
      </c>
      <c r="C4" t="s">
        <v>5</v>
      </c>
      <c r="D4" t="s">
        <v>50</v>
      </c>
    </row>
    <row r="5" spans="1:4" x14ac:dyDescent="0.25">
      <c r="A5" t="s">
        <v>111</v>
      </c>
      <c r="B5" t="s">
        <v>58</v>
      </c>
      <c r="C5" t="s">
        <v>5</v>
      </c>
      <c r="D5" t="s">
        <v>51</v>
      </c>
    </row>
    <row r="6" spans="1:4" x14ac:dyDescent="0.25">
      <c r="A6" t="s">
        <v>112</v>
      </c>
      <c r="B6" t="s">
        <v>59</v>
      </c>
      <c r="C6" t="s">
        <v>5</v>
      </c>
      <c r="D6" t="s">
        <v>52</v>
      </c>
    </row>
    <row r="7" spans="1:4" x14ac:dyDescent="0.25">
      <c r="A7" t="s">
        <v>137</v>
      </c>
      <c r="B7" t="s">
        <v>138</v>
      </c>
      <c r="C7" t="s">
        <v>5</v>
      </c>
      <c r="D7" t="s">
        <v>53</v>
      </c>
    </row>
    <row r="8" spans="1:4" x14ac:dyDescent="0.25">
      <c r="A8" t="s">
        <v>113</v>
      </c>
      <c r="B8" t="s">
        <v>60</v>
      </c>
      <c r="C8" t="s">
        <v>5</v>
      </c>
      <c r="D8" t="s">
        <v>54</v>
      </c>
    </row>
    <row r="9" spans="1:4" x14ac:dyDescent="0.25">
      <c r="A9" t="s">
        <v>114</v>
      </c>
      <c r="B9" t="s">
        <v>63</v>
      </c>
      <c r="C9" t="s">
        <v>5</v>
      </c>
      <c r="D9" t="s">
        <v>50</v>
      </c>
    </row>
    <row r="10" spans="1:4" x14ac:dyDescent="0.25">
      <c r="A10" t="s">
        <v>115</v>
      </c>
      <c r="B10" t="s">
        <v>61</v>
      </c>
      <c r="C10" t="s">
        <v>5</v>
      </c>
      <c r="D10" t="s">
        <v>55</v>
      </c>
    </row>
  </sheetData>
  <autoFilter ref="A1:D11" xr:uid="{999D81EA-FBC9-5F4B-8779-628140E08614}"/>
  <pageMargins left="0.7" right="0.7" top="0.75" bottom="0.75" header="0.3" footer="0.3"/>
  <pageSetup orientation="portrait" horizontalDpi="1200" verticalDpi="1200"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CB4CFA-AAEF-4FC6-A49B-107CEE80A317}">
  <dimension ref="A1:X2"/>
  <sheetViews>
    <sheetView workbookViewId="0">
      <selection activeCell="C8" sqref="C8"/>
    </sheetView>
  </sheetViews>
  <sheetFormatPr defaultColWidth="8.7109375" defaultRowHeight="15" x14ac:dyDescent="0.25"/>
  <cols>
    <col min="1" max="1" width="36.42578125" customWidth="1"/>
    <col min="2" max="2" width="25.28515625" customWidth="1"/>
    <col min="3" max="3" width="53" customWidth="1"/>
    <col min="4" max="4" width="15.140625" customWidth="1"/>
    <col min="5" max="6" width="17.42578125" customWidth="1"/>
    <col min="7" max="7" width="20.42578125" customWidth="1"/>
    <col min="8" max="8" width="13.42578125" bestFit="1" customWidth="1"/>
    <col min="9" max="9" width="25.42578125" customWidth="1"/>
  </cols>
  <sheetData>
    <row r="1" spans="1:24" ht="25.5" customHeight="1" thickBot="1" x14ac:dyDescent="0.35">
      <c r="A1" t="s">
        <v>38</v>
      </c>
      <c r="B1" t="s">
        <v>39</v>
      </c>
      <c r="C1" s="1" t="s">
        <v>9</v>
      </c>
      <c r="D1" t="s">
        <v>25</v>
      </c>
      <c r="E1" t="s">
        <v>92</v>
      </c>
      <c r="F1" t="s">
        <v>26</v>
      </c>
      <c r="G1" t="s">
        <v>93</v>
      </c>
      <c r="H1" t="s">
        <v>37</v>
      </c>
      <c r="I1" t="s">
        <v>94</v>
      </c>
      <c r="J1" t="s">
        <v>95</v>
      </c>
      <c r="K1" t="s">
        <v>96</v>
      </c>
      <c r="L1" t="s">
        <v>97</v>
      </c>
      <c r="M1" t="s">
        <v>98</v>
      </c>
      <c r="N1" t="s">
        <v>99</v>
      </c>
      <c r="O1" t="s">
        <v>100</v>
      </c>
      <c r="P1" t="s">
        <v>101</v>
      </c>
      <c r="Q1" t="s">
        <v>102</v>
      </c>
      <c r="R1" t="s">
        <v>27</v>
      </c>
      <c r="S1" t="s">
        <v>103</v>
      </c>
      <c r="T1" s="4" t="s">
        <v>104</v>
      </c>
      <c r="U1" s="4" t="s">
        <v>105</v>
      </c>
      <c r="V1" s="4" t="s">
        <v>106</v>
      </c>
      <c r="W1" s="4" t="s">
        <v>107</v>
      </c>
      <c r="X1" t="s">
        <v>47</v>
      </c>
    </row>
    <row r="2" spans="1:24" ht="60.75" thickTop="1" x14ac:dyDescent="0.25">
      <c r="A2" t="s">
        <v>50</v>
      </c>
      <c r="B2" t="s">
        <v>5</v>
      </c>
      <c r="C2" s="2" t="s">
        <v>131</v>
      </c>
    </row>
  </sheetData>
  <pageMargins left="0.7" right="0.7" top="0.75" bottom="0.75" header="0.3" footer="0.3"/>
  <pageSetup orientation="portrait" horizontalDpi="1200" verticalDpi="1200"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D6ECC-0BFD-4409-A93E-9F9ABC9C3BE7}">
  <sheetPr>
    <tabColor rgb="FFFFFF00"/>
  </sheetPr>
  <dimension ref="A1:E1"/>
  <sheetViews>
    <sheetView workbookViewId="0"/>
  </sheetViews>
  <sheetFormatPr defaultColWidth="8.7109375" defaultRowHeight="15" x14ac:dyDescent="0.25"/>
  <cols>
    <col min="1" max="1" width="15.140625" bestFit="1" customWidth="1"/>
    <col min="2" max="2" width="59" bestFit="1" customWidth="1"/>
    <col min="3" max="3" width="15.140625" customWidth="1"/>
    <col min="5" max="5" width="14.7109375" bestFit="1" customWidth="1"/>
  </cols>
  <sheetData>
    <row r="1" spans="1:5" x14ac:dyDescent="0.25">
      <c r="A1" t="s">
        <v>44</v>
      </c>
      <c r="B1" t="s">
        <v>45</v>
      </c>
      <c r="C1" t="s">
        <v>38</v>
      </c>
      <c r="D1" t="s">
        <v>41</v>
      </c>
      <c r="E1" t="s">
        <v>9</v>
      </c>
    </row>
  </sheetData>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2E280-092F-4777-8984-8212A8DAB750}">
  <dimension ref="A1:B10"/>
  <sheetViews>
    <sheetView workbookViewId="0">
      <selection activeCell="B11" sqref="B11"/>
    </sheetView>
  </sheetViews>
  <sheetFormatPr defaultColWidth="8.7109375" defaultRowHeight="15" x14ac:dyDescent="0.25"/>
  <cols>
    <col min="1" max="1" width="16.28515625" customWidth="1"/>
    <col min="2" max="2" width="21.42578125" bestFit="1" customWidth="1"/>
    <col min="3" max="3" width="24.42578125" customWidth="1"/>
  </cols>
  <sheetData>
    <row r="1" spans="1:2" x14ac:dyDescent="0.25">
      <c r="A1" t="s">
        <v>40</v>
      </c>
      <c r="B1" t="s">
        <v>68</v>
      </c>
    </row>
    <row r="2" spans="1:2" x14ac:dyDescent="0.25">
      <c r="A2" t="s">
        <v>28</v>
      </c>
      <c r="B2" t="s">
        <v>5</v>
      </c>
    </row>
    <row r="3" spans="1:2" x14ac:dyDescent="0.25">
      <c r="A3" t="s">
        <v>29</v>
      </c>
    </row>
    <row r="4" spans="1:2" x14ac:dyDescent="0.25">
      <c r="A4" t="s">
        <v>30</v>
      </c>
    </row>
    <row r="5" spans="1:2" x14ac:dyDescent="0.25">
      <c r="A5" t="s">
        <v>31</v>
      </c>
    </row>
    <row r="6" spans="1:2" x14ac:dyDescent="0.25">
      <c r="A6" t="s">
        <v>32</v>
      </c>
      <c r="B6" t="s">
        <v>67</v>
      </c>
    </row>
    <row r="7" spans="1:2" x14ac:dyDescent="0.25">
      <c r="A7" t="s">
        <v>33</v>
      </c>
    </row>
    <row r="8" spans="1:2" x14ac:dyDescent="0.25">
      <c r="A8" t="s">
        <v>34</v>
      </c>
      <c r="B8" t="s">
        <v>67</v>
      </c>
    </row>
    <row r="9" spans="1:2" x14ac:dyDescent="0.25">
      <c r="A9" t="s">
        <v>35</v>
      </c>
    </row>
    <row r="10" spans="1:2" x14ac:dyDescent="0.25">
      <c r="A10" t="s">
        <v>36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F46D6-CA8E-44D2-B3D1-E2BF7BBCE19C}">
  <dimension ref="A1:C5"/>
  <sheetViews>
    <sheetView workbookViewId="0">
      <selection activeCell="B3" sqref="B3"/>
    </sheetView>
  </sheetViews>
  <sheetFormatPr defaultColWidth="8.7109375" defaultRowHeight="15" x14ac:dyDescent="0.25"/>
  <sheetData>
    <row r="1" spans="1:3" x14ac:dyDescent="0.25">
      <c r="A1" t="s">
        <v>40</v>
      </c>
      <c r="B1" t="s">
        <v>41</v>
      </c>
      <c r="C1" s="1" t="s">
        <v>72</v>
      </c>
    </row>
    <row r="2" spans="1:3" x14ac:dyDescent="0.25">
      <c r="A2" t="s">
        <v>73</v>
      </c>
      <c r="B2" t="s">
        <v>74</v>
      </c>
      <c r="C2" s="1"/>
    </row>
    <row r="3" spans="1:3" x14ac:dyDescent="0.25">
      <c r="A3" t="s">
        <v>75</v>
      </c>
      <c r="B3" t="s">
        <v>74</v>
      </c>
      <c r="C3" s="1"/>
    </row>
    <row r="4" spans="1:3" x14ac:dyDescent="0.25">
      <c r="A4" t="s">
        <v>76</v>
      </c>
      <c r="B4" t="s">
        <v>74</v>
      </c>
      <c r="C4" s="1"/>
    </row>
    <row r="5" spans="1:3" x14ac:dyDescent="0.25">
      <c r="A5" t="s">
        <v>77</v>
      </c>
      <c r="B5" t="s">
        <v>74</v>
      </c>
      <c r="C5" s="1"/>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9C2ED-EDEB-47AB-8C1E-1290512B1D2F}">
  <dimension ref="A1:Q2"/>
  <sheetViews>
    <sheetView topLeftCell="C1" workbookViewId="0">
      <selection activeCell="F18" sqref="F18"/>
    </sheetView>
  </sheetViews>
  <sheetFormatPr defaultColWidth="8.7109375" defaultRowHeight="15" x14ac:dyDescent="0.25"/>
  <cols>
    <col min="1" max="1" width="63.42578125" bestFit="1" customWidth="1"/>
    <col min="2" max="2" width="19.7109375" customWidth="1"/>
    <col min="3" max="3" width="19.42578125" customWidth="1"/>
    <col min="4" max="5" width="9.140625" customWidth="1"/>
    <col min="6" max="6" width="22.7109375" customWidth="1"/>
    <col min="7" max="7" width="9.140625" customWidth="1"/>
    <col min="8" max="8" width="34.7109375" customWidth="1"/>
    <col min="9" max="15" width="9.140625" customWidth="1"/>
    <col min="16" max="16" width="14.42578125" customWidth="1"/>
    <col min="17" max="17" width="20.7109375" bestFit="1" customWidth="1"/>
  </cols>
  <sheetData>
    <row r="1" spans="1:17" x14ac:dyDescent="0.25">
      <c r="A1" t="s">
        <v>11</v>
      </c>
      <c r="B1" t="s">
        <v>2</v>
      </c>
      <c r="C1" t="s">
        <v>12</v>
      </c>
      <c r="D1" t="s">
        <v>13</v>
      </c>
      <c r="E1" t="s">
        <v>14</v>
      </c>
      <c r="F1" t="s">
        <v>42</v>
      </c>
      <c r="G1" t="s">
        <v>15</v>
      </c>
      <c r="H1" t="s">
        <v>16</v>
      </c>
      <c r="I1" t="s">
        <v>17</v>
      </c>
      <c r="J1" t="s">
        <v>18</v>
      </c>
      <c r="K1" t="s">
        <v>19</v>
      </c>
      <c r="L1" t="s">
        <v>20</v>
      </c>
      <c r="M1" t="s">
        <v>21</v>
      </c>
      <c r="N1" t="s">
        <v>22</v>
      </c>
      <c r="O1" t="s">
        <v>23</v>
      </c>
      <c r="P1" t="s">
        <v>24</v>
      </c>
      <c r="Q1" t="s">
        <v>46</v>
      </c>
    </row>
    <row r="2" spans="1:17" x14ac:dyDescent="0.25">
      <c r="A2" s="3"/>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7A46F-8381-432D-A5A2-CA05BE31957E}">
  <dimension ref="A1:J2"/>
  <sheetViews>
    <sheetView workbookViewId="0">
      <selection activeCell="C2" sqref="C2"/>
    </sheetView>
  </sheetViews>
  <sheetFormatPr defaultColWidth="8.7109375" defaultRowHeight="15" x14ac:dyDescent="0.25"/>
  <sheetData>
    <row r="1" spans="1:10" ht="18" customHeight="1" thickBot="1" x14ac:dyDescent="0.35">
      <c r="A1" t="s">
        <v>78</v>
      </c>
      <c r="B1" s="4" t="s">
        <v>79</v>
      </c>
      <c r="C1" s="4" t="s">
        <v>80</v>
      </c>
      <c r="D1" s="4" t="s">
        <v>81</v>
      </c>
      <c r="E1" s="4" t="s">
        <v>82</v>
      </c>
      <c r="F1" s="4" t="s">
        <v>83</v>
      </c>
      <c r="G1" s="4" t="s">
        <v>84</v>
      </c>
      <c r="H1" s="4" t="s">
        <v>4</v>
      </c>
      <c r="I1" s="4" t="s">
        <v>85</v>
      </c>
      <c r="J1" s="4" t="s">
        <v>86</v>
      </c>
    </row>
    <row r="2" spans="1:10" ht="15.75" thickTop="1" x14ac:dyDescent="0.25">
      <c r="A2">
        <v>1</v>
      </c>
      <c r="B2" t="s">
        <v>87</v>
      </c>
      <c r="C2" t="str">
        <f t="shared" ref="C2" si="0">"http://hl7.org/fhir/us/core/StructureDefinition/us-core-"&amp;LOWER(B2)</f>
        <v>http://hl7.org/fhir/us/core/StructureDefinition/us-core-!encounter</v>
      </c>
      <c r="D2" t="s">
        <v>88</v>
      </c>
      <c r="E2" t="s">
        <v>67</v>
      </c>
      <c r="F2" t="s">
        <v>89</v>
      </c>
      <c r="J2" s="5" t="str">
        <f t="shared" ref="J2" si="1">"Fetches a bundle of all "&amp;B2&amp;" resources matching the specified "&amp;SUBSTITUTE(D2,","," and ")</f>
        <v>Fetches a bundle of all !Encounter resources matching the specified class and date</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config</vt:lpstr>
      <vt:lpstr>meta</vt:lpstr>
      <vt:lpstr>igs</vt:lpstr>
      <vt:lpstr>profiles</vt:lpstr>
      <vt:lpstr>resources</vt:lpstr>
      <vt:lpstr>ops</vt:lpstr>
      <vt:lpstr>interactions</vt:lpstr>
      <vt:lpstr>rest_interactions</vt:lpstr>
      <vt:lpstr>sps</vt:lpstr>
      <vt:lpstr>sp_combos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Dave deRoode</cp:lastModifiedBy>
  <dcterms:created xsi:type="dcterms:W3CDTF">2019-02-19T18:23:22Z</dcterms:created>
  <dcterms:modified xsi:type="dcterms:W3CDTF">2026-03-02T22:41:58Z</dcterms:modified>
</cp:coreProperties>
</file>